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05D4688-CD00-4942-852E-5CAEAB187AB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Tickety" sheetId="2" r:id="rId2"/>
    <sheet name="Týždne" sheetId="3" r:id="rId3"/>
    <sheet name="Skills" sheetId="4" r:id="rId4"/>
    <sheet name="Roadmap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4" l="1"/>
  <c r="C24" i="4"/>
  <c r="B20" i="1"/>
  <c r="B19" i="1"/>
  <c r="B18" i="1"/>
  <c r="B17" i="1"/>
  <c r="B14" i="1"/>
  <c r="B13" i="1"/>
  <c r="B12" i="1"/>
  <c r="B11" i="1"/>
  <c r="B7" i="1"/>
  <c r="B6" i="1"/>
  <c r="B5" i="1"/>
  <c r="B4" i="1"/>
  <c r="B8" i="1" s="1"/>
</calcChain>
</file>

<file path=xl/sharedStrings.xml><?xml version="1.0" encoding="utf-8"?>
<sst xmlns="http://schemas.openxmlformats.org/spreadsheetml/2006/main" count="136" uniqueCount="110">
  <si>
    <t>AUTOMATION &amp; SECURITY ACADEMY — PREHĽAD</t>
  </si>
  <si>
    <t>Cieľ: prvá práca ako Automation Engineer → Security Automation Engineer</t>
  </si>
  <si>
    <t>TICKETY</t>
  </si>
  <si>
    <t>Celkom ticketov</t>
  </si>
  <si>
    <t>Dokončené (Done)</t>
  </si>
  <si>
    <t>V práci (In Progress + Code Review)</t>
  </si>
  <si>
    <t>Zablokované</t>
  </si>
  <si>
    <t>% dokončených</t>
  </si>
  <si>
    <t>ČAS A KONZISTENCIA</t>
  </si>
  <si>
    <t>Odpracované hodiny spolu</t>
  </si>
  <si>
    <t>Priemer hodín / týždeň</t>
  </si>
  <si>
    <t>Absolvované týždenné interview</t>
  </si>
  <si>
    <t>Odovzdané weekly reporty</t>
  </si>
  <si>
    <t>SKILLS</t>
  </si>
  <si>
    <t>Priemerná úroveň skillov</t>
  </si>
  <si>
    <t>Cieľová úroveň (priemer)</t>
  </si>
  <si>
    <t>Skilly na cieli alebo nad</t>
  </si>
  <si>
    <t>Skilly celkom</t>
  </si>
  <si>
    <t>TICKETY — pracovné zadania</t>
  </si>
  <si>
    <t>Ticket ID</t>
  </si>
  <si>
    <t>Názov</t>
  </si>
  <si>
    <t>Fáza</t>
  </si>
  <si>
    <t>Týždeň</t>
  </si>
  <si>
    <t>Kategória</t>
  </si>
  <si>
    <t>Status</t>
  </si>
  <si>
    <t>Dátum dokončenia</t>
  </si>
  <si>
    <t>GitHub link</t>
  </si>
  <si>
    <t>Poznámky / feedback zo code review</t>
  </si>
  <si>
    <t>TICKET-001</t>
  </si>
  <si>
    <t>Založ learning-log repozitár</t>
  </si>
  <si>
    <t>Proces</t>
  </si>
  <si>
    <t>Done</t>
  </si>
  <si>
    <t>2026-07-08</t>
  </si>
  <si>
    <t>https://github.com/RadiiYevstratov/learning-log</t>
  </si>
  <si>
    <t>Remediácia: push, week-00 gaps, git mv tracker do rootu, konkrétny cieľ v README</t>
  </si>
  <si>
    <t>TICKET-002</t>
  </si>
  <si>
    <t>SSH Brute-Force Detektor (diagnostika)</t>
  </si>
  <si>
    <t>Security Automation</t>
  </si>
  <si>
    <t>2026-07-12</t>
  </si>
  <si>
    <t>https://github.com/RadiiYevstratov/ssh-bruteforce-detector</t>
  </si>
  <si>
    <t>5 kôl code review. Kľúčové lekcie: holý except, sys.argv, exit kódy, refaktor global -&gt; return/parametre, testovanie chybových vetiev, kompletná dodávka</t>
  </si>
  <si>
    <t>TÝŽDENNÉ REPORTY</t>
  </si>
  <si>
    <t>Dátum od</t>
  </si>
  <si>
    <t>Odpracované hodiny</t>
  </si>
  <si>
    <t>Hlavná téma (teória)</t>
  </si>
  <si>
    <t>Projekt / ticket</t>
  </si>
  <si>
    <t>Security téma</t>
  </si>
  <si>
    <t>Interview absolvované</t>
  </si>
  <si>
    <t>Report v learning-log</t>
  </si>
  <si>
    <t>Poznámky mentora</t>
  </si>
  <si>
    <t>2026-07-06</t>
  </si>
  <si>
    <t>Python základy, WSL setup, Git remote/SSH kľúče</t>
  </si>
  <si>
    <t>TICKET-001, TICKET-002 (SSH Brute-Force Detektor)</t>
  </si>
  <si>
    <t>SSH brute-force, log analýza, sanitizácia dát, verejný/súkromný kľúč</t>
  </si>
  <si>
    <t>Silné: experimenty, dizajnové rozhodnutia. Slabé: disciplína dodávky (kód+výstup+git log), priebežné commity</t>
  </si>
  <si>
    <t>SKILLS MATRIX — hodnotenie 0 až 5</t>
  </si>
  <si>
    <t>0 = nič, 1 = počul som, 2 = základy, 3 = viem použiť s pomocou, 4 = samostatne, 5 = viem vysvetliť juniorovi</t>
  </si>
  <si>
    <t>Skill</t>
  </si>
  <si>
    <t>Oblasť</t>
  </si>
  <si>
    <t>Aktuálna úroveň (0–5)</t>
  </si>
  <si>
    <t>Cieľ pre junior pozíciu</t>
  </si>
  <si>
    <t>Posledná aktualizácia</t>
  </si>
  <si>
    <t>Dôkaz (projekt / repo)</t>
  </si>
  <si>
    <t>Python</t>
  </si>
  <si>
    <t>Core</t>
  </si>
  <si>
    <t>Linux</t>
  </si>
  <si>
    <t>WSL setup + auth.log analýza (TICKET-002)</t>
  </si>
  <si>
    <t>Git</t>
  </si>
  <si>
    <t>HTTP</t>
  </si>
  <si>
    <t>Web/API</t>
  </si>
  <si>
    <t>REST API</t>
  </si>
  <si>
    <t>SQL</t>
  </si>
  <si>
    <t>Data</t>
  </si>
  <si>
    <t>Docker</t>
  </si>
  <si>
    <t>Infra</t>
  </si>
  <si>
    <t>Networking</t>
  </si>
  <si>
    <t>Windows</t>
  </si>
  <si>
    <t>Active Directory</t>
  </si>
  <si>
    <t>Azure</t>
  </si>
  <si>
    <t>Cloud</t>
  </si>
  <si>
    <t>Cloud koncepty</t>
  </si>
  <si>
    <t>SIEM</t>
  </si>
  <si>
    <t>Security</t>
  </si>
  <si>
    <t>Microsoft Security Stack</t>
  </si>
  <si>
    <t>DevSecOps</t>
  </si>
  <si>
    <t>Čistý kód / code review</t>
  </si>
  <si>
    <t>Engineering</t>
  </si>
  <si>
    <t>Testovanie</t>
  </si>
  <si>
    <t>CI/CD</t>
  </si>
  <si>
    <t>Dokumentácia / README</t>
  </si>
  <si>
    <t>Priemer</t>
  </si>
  <si>
    <t>ROADMAP — 12 mesiacov</t>
  </si>
  <si>
    <t>Mesiace</t>
  </si>
  <si>
    <t>Zameranie</t>
  </si>
  <si>
    <t>Kľúčové výstupy (portfólio)</t>
  </si>
  <si>
    <t>1–3</t>
  </si>
  <si>
    <t>Python + Linux + Git ako pracovné nástroje</t>
  </si>
  <si>
    <t>Log parser, file automation, security skripty, learning-log</t>
  </si>
  <si>
    <t>In Progress</t>
  </si>
  <si>
    <t>4–6</t>
  </si>
  <si>
    <t>REST API, HTTP, SQL, Docker</t>
  </si>
  <si>
    <t>API automatizácia (Defender-style), vlastné API, dockerizovaný projekt</t>
  </si>
  <si>
    <t>To Do</t>
  </si>
  <si>
    <t>7–9</t>
  </si>
  <si>
    <t>Azure, Windows/AD, SIEM koncepty</t>
  </si>
  <si>
    <t>Cloud automation, detekčné pravidlá, alerting pipeline</t>
  </si>
  <si>
    <t>10–12</t>
  </si>
  <si>
    <t>DevSecOps, CI/CD, príprava na trh</t>
  </si>
  <si>
    <t>CI/CD pipeline, portfólio polish, nemecké CV, pohovorový tréning</t>
  </si>
  <si>
    <t>Áno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</si>
</sst>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  <charset val="238"/>
    </font>
    <font>
      <i/>
      <sz val="10"/>
      <color rgb="FF595959"/>
      <name val="Arial"/>
      <family val="2"/>
      <charset val="238"/>
    </font>
    <font>
      <b/>
      <sz val="11"/>
      <color rgb="FFFFFFFF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rgb="FFFFFFFF"/>
      <name val="Arial"/>
      <family val="2"/>
      <charset val="238"/>
    </font>
    <font>
      <i/>
      <sz val="9"/>
      <color rgb="FF59595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2" borderId="1" xfId="0" applyFill="1" applyBorder="1"/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/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>
      <selection activeCell="G13" sqref="G13"/>
    </sheetView>
  </sheetViews>
  <sheetFormatPr defaultColWidth="8.6640625" defaultRowHeight="14.4" x14ac:dyDescent="0.3"/>
  <cols>
    <col min="1" max="1" width="36" customWidth="1"/>
    <col min="2" max="2" width="14" customWidth="1"/>
  </cols>
  <sheetData>
    <row r="1" spans="1:4" ht="24" customHeight="1" x14ac:dyDescent="0.3">
      <c r="A1" s="1" t="s">
        <v>0</v>
      </c>
      <c r="B1" s="1"/>
      <c r="C1" s="1"/>
      <c r="D1" s="1"/>
    </row>
    <row r="2" spans="1:4" ht="15" customHeight="1" x14ac:dyDescent="0.3">
      <c r="A2" s="2" t="s">
        <v>1</v>
      </c>
    </row>
    <row r="3" spans="1:4" ht="15" customHeight="1" x14ac:dyDescent="0.3">
      <c r="A3" s="3" t="s">
        <v>2</v>
      </c>
      <c r="B3" s="4"/>
    </row>
    <row r="4" spans="1:4" ht="15" customHeight="1" x14ac:dyDescent="0.3">
      <c r="A4" s="5" t="s">
        <v>3</v>
      </c>
      <c r="B4" s="6">
        <f>COUNTA(Tickety!A4:A60)</f>
        <v>2</v>
      </c>
    </row>
    <row r="5" spans="1:4" ht="15" customHeight="1" x14ac:dyDescent="0.3">
      <c r="A5" s="5" t="s">
        <v>4</v>
      </c>
      <c r="B5" s="6">
        <f>COUNTIF(Tickety!F4:F60,"Done")</f>
        <v>2</v>
      </c>
    </row>
    <row r="6" spans="1:4" ht="15" customHeight="1" x14ac:dyDescent="0.3">
      <c r="A6" s="5" t="s">
        <v>5</v>
      </c>
      <c r="B6" s="6">
        <f>COUNTIF(Tickety!F4:F60,"In Progress")+COUNTIF(Tickety!F4:F60,"Code Review")</f>
        <v>0</v>
      </c>
    </row>
    <row r="7" spans="1:4" ht="15" customHeight="1" x14ac:dyDescent="0.3">
      <c r="A7" s="5" t="s">
        <v>6</v>
      </c>
      <c r="B7" s="6">
        <f>COUNTIF(Tickety!F4:F60,"Blocked")</f>
        <v>0</v>
      </c>
    </row>
    <row r="8" spans="1:4" ht="15" customHeight="1" x14ac:dyDescent="0.3">
      <c r="A8" s="5" t="s">
        <v>7</v>
      </c>
      <c r="B8" s="7">
        <f>IF(B4=0,0,B5/B4)</f>
        <v>1</v>
      </c>
    </row>
    <row r="10" spans="1:4" ht="15" customHeight="1" x14ac:dyDescent="0.3">
      <c r="A10" s="3" t="s">
        <v>8</v>
      </c>
      <c r="B10" s="4"/>
    </row>
    <row r="11" spans="1:4" ht="15" customHeight="1" x14ac:dyDescent="0.3">
      <c r="A11" s="5" t="s">
        <v>9</v>
      </c>
      <c r="B11" s="6">
        <f>SUM(Týždne!C4:C55)</f>
        <v>9</v>
      </c>
    </row>
    <row r="12" spans="1:4" ht="15" customHeight="1" x14ac:dyDescent="0.3">
      <c r="A12" s="5" t="s">
        <v>10</v>
      </c>
      <c r="B12" s="8">
        <f>IF(COUNT(Týždne!C4:C55)=0,0,AVERAGE(Týždne!C4:C55))</f>
        <v>9</v>
      </c>
    </row>
    <row r="13" spans="1:4" ht="15" customHeight="1" x14ac:dyDescent="0.3">
      <c r="A13" s="5" t="s">
        <v>11</v>
      </c>
      <c r="B13" s="6">
        <f>COUNTIF(Týždne!G4:G55,"Áno")</f>
        <v>1</v>
      </c>
    </row>
    <row r="14" spans="1:4" ht="15" customHeight="1" x14ac:dyDescent="0.3">
      <c r="A14" s="5" t="s">
        <v>12</v>
      </c>
      <c r="B14" s="6">
        <f>COUNTIF(Týždne!H4:H55,"Áno")</f>
        <v>1</v>
      </c>
    </row>
    <row r="16" spans="1:4" ht="15" customHeight="1" x14ac:dyDescent="0.3">
      <c r="A16" s="3" t="s">
        <v>13</v>
      </c>
      <c r="B16" s="4"/>
    </row>
    <row r="17" spans="1:2" ht="15" customHeight="1" x14ac:dyDescent="0.3">
      <c r="A17" s="5" t="s">
        <v>14</v>
      </c>
      <c r="B17" s="8">
        <f>AVERAGE(Skills!C4:C23)</f>
        <v>0.7</v>
      </c>
    </row>
    <row r="18" spans="1:2" ht="15" customHeight="1" x14ac:dyDescent="0.3">
      <c r="A18" s="5" t="s">
        <v>15</v>
      </c>
      <c r="B18" s="8">
        <f>AVERAGE(Skills!D4:D23)</f>
        <v>3.4</v>
      </c>
    </row>
    <row r="19" spans="1:2" ht="15" customHeight="1" x14ac:dyDescent="0.3">
      <c r="A19" s="5" t="s">
        <v>16</v>
      </c>
      <c r="B19" s="6">
        <f>SUMPRODUCT(--(Skills!C4:C23&gt;=Skills!D4:D23))</f>
        <v>1</v>
      </c>
    </row>
    <row r="20" spans="1:2" ht="15" customHeight="1" x14ac:dyDescent="0.3">
      <c r="A20" s="5" t="s">
        <v>17</v>
      </c>
      <c r="B20" s="6">
        <f>COUNTA(Skills!A4:A23)</f>
        <v>20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zoomScaleNormal="100" workbookViewId="0">
      <pane ySplit="3" topLeftCell="A4" activePane="bottomLeft" state="frozen"/>
      <selection pane="bottomLeft" activeCell="E7" sqref="E7"/>
    </sheetView>
  </sheetViews>
  <sheetFormatPr defaultColWidth="8.6640625" defaultRowHeight="14.4" x14ac:dyDescent="0.3"/>
  <cols>
    <col min="1" max="1" width="12" customWidth="1"/>
    <col min="2" max="2" width="34" customWidth="1"/>
    <col min="3" max="3" width="7" customWidth="1"/>
    <col min="4" max="4" width="8" customWidth="1"/>
    <col min="5" max="5" width="18" customWidth="1"/>
    <col min="6" max="6" width="13" customWidth="1"/>
    <col min="7" max="7" width="14" customWidth="1"/>
    <col min="8" max="8" width="26" customWidth="1"/>
    <col min="9" max="9" width="40" customWidth="1"/>
  </cols>
  <sheetData>
    <row r="1" spans="1:9" ht="24" customHeight="1" x14ac:dyDescent="0.3">
      <c r="A1" s="1" t="s">
        <v>18</v>
      </c>
      <c r="B1" s="1"/>
      <c r="C1" s="1"/>
      <c r="D1" s="1"/>
      <c r="E1" s="1"/>
      <c r="F1" s="1"/>
      <c r="G1" s="1"/>
      <c r="H1" s="1"/>
      <c r="I1" s="1"/>
    </row>
    <row r="3" spans="1:9" ht="23.25" customHeight="1" x14ac:dyDescent="0.3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</row>
    <row r="4" spans="1:9" ht="15" customHeight="1" x14ac:dyDescent="0.3">
      <c r="A4" s="10" t="s">
        <v>28</v>
      </c>
      <c r="B4" s="5" t="s">
        <v>29</v>
      </c>
      <c r="C4" s="10">
        <v>1</v>
      </c>
      <c r="D4" s="10">
        <v>0</v>
      </c>
      <c r="E4" s="5" t="s">
        <v>30</v>
      </c>
      <c r="F4" s="10" t="s">
        <v>31</v>
      </c>
      <c r="G4" s="10" t="s">
        <v>32</v>
      </c>
      <c r="H4" s="5" t="s">
        <v>33</v>
      </c>
      <c r="I4" s="5" t="s">
        <v>34</v>
      </c>
    </row>
    <row r="5" spans="1:9" ht="15" customHeight="1" x14ac:dyDescent="0.3">
      <c r="A5" s="10" t="s">
        <v>35</v>
      </c>
      <c r="B5" s="5" t="s">
        <v>36</v>
      </c>
      <c r="C5" s="10">
        <v>1</v>
      </c>
      <c r="D5" s="10">
        <v>1</v>
      </c>
      <c r="E5" s="5" t="s">
        <v>37</v>
      </c>
      <c r="F5" s="10" t="s">
        <v>31</v>
      </c>
      <c r="G5" s="10" t="s">
        <v>38</v>
      </c>
      <c r="H5" s="5" t="s">
        <v>39</v>
      </c>
      <c r="I5" s="5" t="s">
        <v>40</v>
      </c>
    </row>
    <row r="6" spans="1:9" ht="15" customHeight="1" x14ac:dyDescent="0.3">
      <c r="A6" s="10"/>
      <c r="B6" s="5"/>
      <c r="C6" s="10"/>
      <c r="D6" s="10"/>
      <c r="E6" s="5"/>
      <c r="F6" s="10"/>
      <c r="G6" s="10"/>
      <c r="H6" s="5"/>
      <c r="I6" s="5"/>
    </row>
    <row r="7" spans="1:9" ht="15" customHeight="1" x14ac:dyDescent="0.3">
      <c r="A7" s="10"/>
      <c r="B7" s="5"/>
      <c r="C7" s="10"/>
      <c r="D7" s="10"/>
      <c r="E7" s="5"/>
      <c r="F7" s="10"/>
      <c r="G7" s="10"/>
      <c r="H7" s="5"/>
      <c r="I7" s="5"/>
    </row>
    <row r="8" spans="1:9" ht="15" customHeight="1" x14ac:dyDescent="0.3">
      <c r="A8" s="10"/>
      <c r="B8" s="5"/>
      <c r="C8" s="10"/>
      <c r="D8" s="10"/>
      <c r="E8" s="5"/>
      <c r="F8" s="10"/>
      <c r="G8" s="10"/>
      <c r="H8" s="5"/>
      <c r="I8" s="5"/>
    </row>
    <row r="9" spans="1:9" ht="15" customHeight="1" x14ac:dyDescent="0.3">
      <c r="A9" s="10"/>
      <c r="B9" s="5"/>
      <c r="C9" s="10"/>
      <c r="D9" s="10"/>
      <c r="E9" s="5"/>
      <c r="F9" s="10"/>
      <c r="G9" s="10"/>
      <c r="H9" s="5"/>
      <c r="I9" s="5"/>
    </row>
    <row r="10" spans="1:9" ht="15" customHeight="1" x14ac:dyDescent="0.3">
      <c r="A10" s="10"/>
      <c r="B10" s="5"/>
      <c r="C10" s="10"/>
      <c r="D10" s="10"/>
      <c r="E10" s="5"/>
      <c r="F10" s="10"/>
      <c r="G10" s="10"/>
      <c r="H10" s="5"/>
      <c r="I10" s="5"/>
    </row>
    <row r="11" spans="1:9" ht="15" customHeight="1" x14ac:dyDescent="0.3">
      <c r="A11" s="10"/>
      <c r="B11" s="5"/>
      <c r="C11" s="10"/>
      <c r="D11" s="10"/>
      <c r="E11" s="5"/>
      <c r="F11" s="10"/>
      <c r="G11" s="10"/>
      <c r="H11" s="5"/>
      <c r="I11" s="5"/>
    </row>
    <row r="12" spans="1:9" ht="15" customHeight="1" x14ac:dyDescent="0.3">
      <c r="A12" s="10"/>
      <c r="B12" s="5"/>
      <c r="C12" s="10"/>
      <c r="D12" s="10"/>
      <c r="E12" s="5"/>
      <c r="F12" s="10"/>
      <c r="G12" s="10"/>
      <c r="H12" s="5"/>
      <c r="I12" s="5"/>
    </row>
    <row r="13" spans="1:9" ht="15" customHeight="1" x14ac:dyDescent="0.3">
      <c r="A13" s="10"/>
      <c r="B13" s="5"/>
      <c r="C13" s="10"/>
      <c r="D13" s="10"/>
      <c r="E13" s="5"/>
      <c r="F13" s="10"/>
      <c r="G13" s="10"/>
      <c r="H13" s="5"/>
      <c r="I13" s="5"/>
    </row>
    <row r="14" spans="1:9" ht="15" customHeight="1" x14ac:dyDescent="0.3">
      <c r="A14" s="10"/>
      <c r="B14" s="5"/>
      <c r="C14" s="10"/>
      <c r="D14" s="10"/>
      <c r="E14" s="5"/>
      <c r="F14" s="10"/>
      <c r="G14" s="10"/>
      <c r="H14" s="5"/>
      <c r="I14" s="5"/>
    </row>
    <row r="15" spans="1:9" ht="15" customHeight="1" x14ac:dyDescent="0.3">
      <c r="A15" s="10"/>
      <c r="B15" s="5"/>
      <c r="C15" s="10"/>
      <c r="D15" s="10"/>
      <c r="E15" s="5"/>
      <c r="F15" s="10"/>
      <c r="G15" s="10"/>
      <c r="H15" s="5"/>
      <c r="I15" s="5"/>
    </row>
    <row r="16" spans="1:9" ht="15" customHeight="1" x14ac:dyDescent="0.3">
      <c r="A16" s="10"/>
      <c r="B16" s="5"/>
      <c r="C16" s="10"/>
      <c r="D16" s="10"/>
      <c r="E16" s="5"/>
      <c r="F16" s="10"/>
      <c r="G16" s="10"/>
      <c r="H16" s="5"/>
      <c r="I16" s="5"/>
    </row>
    <row r="17" spans="1:9" ht="15" customHeight="1" x14ac:dyDescent="0.3">
      <c r="A17" s="10"/>
      <c r="B17" s="5"/>
      <c r="C17" s="10"/>
      <c r="D17" s="10"/>
      <c r="E17" s="5"/>
      <c r="F17" s="10"/>
      <c r="G17" s="10"/>
      <c r="H17" s="5"/>
      <c r="I17" s="5"/>
    </row>
    <row r="18" spans="1:9" ht="15" customHeight="1" x14ac:dyDescent="0.3">
      <c r="A18" s="10"/>
      <c r="B18" s="5"/>
      <c r="C18" s="10"/>
      <c r="D18" s="10"/>
      <c r="E18" s="5"/>
      <c r="F18" s="10"/>
      <c r="G18" s="10"/>
      <c r="H18" s="5"/>
      <c r="I18" s="5"/>
    </row>
    <row r="19" spans="1:9" ht="15" customHeight="1" x14ac:dyDescent="0.3">
      <c r="A19" s="10"/>
      <c r="B19" s="5"/>
      <c r="C19" s="10"/>
      <c r="D19" s="10"/>
      <c r="E19" s="5"/>
      <c r="F19" s="10"/>
      <c r="G19" s="10"/>
      <c r="H19" s="5"/>
      <c r="I19" s="5"/>
    </row>
    <row r="20" spans="1:9" ht="15" customHeight="1" x14ac:dyDescent="0.3">
      <c r="A20" s="10"/>
      <c r="B20" s="5"/>
      <c r="C20" s="10"/>
      <c r="D20" s="10"/>
      <c r="E20" s="5"/>
      <c r="F20" s="10"/>
      <c r="G20" s="10"/>
      <c r="H20" s="5"/>
      <c r="I20" s="5"/>
    </row>
    <row r="21" spans="1:9" ht="15" customHeight="1" x14ac:dyDescent="0.3">
      <c r="A21" s="10"/>
      <c r="B21" s="5"/>
      <c r="C21" s="10"/>
      <c r="D21" s="10"/>
      <c r="E21" s="5"/>
      <c r="F21" s="10"/>
      <c r="G21" s="10"/>
      <c r="H21" s="5"/>
      <c r="I21" s="5"/>
    </row>
    <row r="22" spans="1:9" ht="15" customHeight="1" x14ac:dyDescent="0.3">
      <c r="A22" s="10"/>
      <c r="B22" s="5"/>
      <c r="C22" s="10"/>
      <c r="D22" s="10"/>
      <c r="E22" s="5"/>
      <c r="F22" s="10"/>
      <c r="G22" s="10"/>
      <c r="H22" s="5"/>
      <c r="I22" s="5"/>
    </row>
    <row r="23" spans="1:9" ht="15" customHeight="1" x14ac:dyDescent="0.3">
      <c r="A23" s="10"/>
      <c r="B23" s="5"/>
      <c r="C23" s="10"/>
      <c r="D23" s="10"/>
      <c r="E23" s="5"/>
      <c r="F23" s="10"/>
      <c r="G23" s="10"/>
      <c r="H23" s="5"/>
      <c r="I23" s="5"/>
    </row>
    <row r="24" spans="1:9" ht="15" customHeight="1" x14ac:dyDescent="0.3">
      <c r="A24" s="10"/>
      <c r="B24" s="5"/>
      <c r="C24" s="10"/>
      <c r="D24" s="10"/>
      <c r="E24" s="5"/>
      <c r="F24" s="10"/>
      <c r="G24" s="10"/>
      <c r="H24" s="5"/>
      <c r="I24" s="5"/>
    </row>
    <row r="25" spans="1:9" ht="15" customHeight="1" x14ac:dyDescent="0.3">
      <c r="A25" s="10"/>
      <c r="B25" s="5"/>
      <c r="C25" s="10"/>
      <c r="D25" s="10"/>
      <c r="E25" s="5"/>
      <c r="F25" s="10"/>
      <c r="G25" s="10"/>
      <c r="H25" s="5"/>
      <c r="I25" s="5"/>
    </row>
    <row r="26" spans="1:9" ht="15" customHeight="1" x14ac:dyDescent="0.3">
      <c r="A26" s="10"/>
      <c r="B26" s="5"/>
      <c r="C26" s="10"/>
      <c r="D26" s="10"/>
      <c r="E26" s="5"/>
      <c r="F26" s="10"/>
      <c r="G26" s="10"/>
      <c r="H26" s="5"/>
      <c r="I26" s="5"/>
    </row>
    <row r="27" spans="1:9" ht="15" customHeight="1" x14ac:dyDescent="0.3">
      <c r="A27" s="10"/>
      <c r="B27" s="5"/>
      <c r="C27" s="10"/>
      <c r="D27" s="10"/>
      <c r="E27" s="5"/>
      <c r="F27" s="10"/>
      <c r="G27" s="10"/>
      <c r="H27" s="5"/>
      <c r="I27" s="5"/>
    </row>
    <row r="28" spans="1:9" ht="15" customHeight="1" x14ac:dyDescent="0.3">
      <c r="A28" s="10"/>
      <c r="B28" s="5"/>
      <c r="C28" s="10"/>
      <c r="D28" s="10"/>
      <c r="E28" s="5"/>
      <c r="F28" s="10"/>
      <c r="G28" s="10"/>
      <c r="H28" s="5"/>
      <c r="I28" s="5"/>
    </row>
    <row r="29" spans="1:9" ht="15" customHeight="1" x14ac:dyDescent="0.3">
      <c r="A29" s="10"/>
      <c r="B29" s="5"/>
      <c r="C29" s="10"/>
      <c r="D29" s="10"/>
      <c r="E29" s="5"/>
      <c r="F29" s="10"/>
      <c r="G29" s="10"/>
      <c r="H29" s="5"/>
      <c r="I29" s="5"/>
    </row>
    <row r="30" spans="1:9" ht="15" customHeight="1" x14ac:dyDescent="0.3">
      <c r="A30" s="10"/>
      <c r="B30" s="5"/>
      <c r="C30" s="10"/>
      <c r="D30" s="10"/>
      <c r="E30" s="5"/>
      <c r="F30" s="10"/>
      <c r="G30" s="10"/>
      <c r="H30" s="5"/>
      <c r="I30" s="5"/>
    </row>
    <row r="31" spans="1:9" ht="15" customHeight="1" x14ac:dyDescent="0.3">
      <c r="A31" s="10"/>
      <c r="B31" s="5"/>
      <c r="C31" s="10"/>
      <c r="D31" s="10"/>
      <c r="E31" s="5"/>
      <c r="F31" s="10"/>
      <c r="G31" s="10"/>
      <c r="H31" s="5"/>
      <c r="I31" s="5"/>
    </row>
    <row r="32" spans="1:9" ht="15" customHeight="1" x14ac:dyDescent="0.3">
      <c r="A32" s="10"/>
      <c r="B32" s="5"/>
      <c r="C32" s="10"/>
      <c r="D32" s="10"/>
      <c r="E32" s="5"/>
      <c r="F32" s="10"/>
      <c r="G32" s="10"/>
      <c r="H32" s="5"/>
      <c r="I32" s="5"/>
    </row>
    <row r="33" spans="1:9" ht="15" customHeight="1" x14ac:dyDescent="0.3">
      <c r="A33" s="10"/>
      <c r="B33" s="5"/>
      <c r="C33" s="10"/>
      <c r="D33" s="10"/>
      <c r="E33" s="5"/>
      <c r="F33" s="10"/>
      <c r="G33" s="10"/>
      <c r="H33" s="5"/>
      <c r="I33" s="5"/>
    </row>
    <row r="34" spans="1:9" ht="15" customHeight="1" x14ac:dyDescent="0.3">
      <c r="A34" s="10"/>
      <c r="B34" s="5"/>
      <c r="C34" s="10"/>
      <c r="D34" s="10"/>
      <c r="E34" s="5"/>
      <c r="F34" s="10"/>
      <c r="G34" s="10"/>
      <c r="H34" s="5"/>
      <c r="I34" s="5"/>
    </row>
    <row r="35" spans="1:9" ht="15" customHeight="1" x14ac:dyDescent="0.3">
      <c r="A35" s="10"/>
      <c r="B35" s="5"/>
      <c r="C35" s="10"/>
      <c r="D35" s="10"/>
      <c r="E35" s="5"/>
      <c r="F35" s="10"/>
      <c r="G35" s="10"/>
      <c r="H35" s="5"/>
      <c r="I35" s="5"/>
    </row>
    <row r="36" spans="1:9" ht="15" customHeight="1" x14ac:dyDescent="0.3">
      <c r="A36" s="10"/>
      <c r="B36" s="5"/>
      <c r="C36" s="10"/>
      <c r="D36" s="10"/>
      <c r="E36" s="5"/>
      <c r="F36" s="10"/>
      <c r="G36" s="10"/>
      <c r="H36" s="5"/>
      <c r="I36" s="5"/>
    </row>
    <row r="37" spans="1:9" ht="15" customHeight="1" x14ac:dyDescent="0.3">
      <c r="A37" s="10"/>
      <c r="B37" s="5"/>
      <c r="C37" s="10"/>
      <c r="D37" s="10"/>
      <c r="E37" s="5"/>
      <c r="F37" s="10"/>
      <c r="G37" s="10"/>
      <c r="H37" s="5"/>
      <c r="I37" s="5"/>
    </row>
    <row r="38" spans="1:9" ht="15" customHeight="1" x14ac:dyDescent="0.3">
      <c r="A38" s="10"/>
      <c r="B38" s="5"/>
      <c r="C38" s="10"/>
      <c r="D38" s="10"/>
      <c r="E38" s="5"/>
      <c r="F38" s="10"/>
      <c r="G38" s="10"/>
      <c r="H38" s="5"/>
      <c r="I38" s="5"/>
    </row>
    <row r="39" spans="1:9" ht="15" customHeight="1" x14ac:dyDescent="0.3">
      <c r="A39" s="10"/>
      <c r="B39" s="5"/>
      <c r="C39" s="10"/>
      <c r="D39" s="10"/>
      <c r="E39" s="5"/>
      <c r="F39" s="10"/>
      <c r="G39" s="10"/>
      <c r="H39" s="5"/>
      <c r="I39" s="5"/>
    </row>
    <row r="40" spans="1:9" ht="15" customHeight="1" x14ac:dyDescent="0.3">
      <c r="A40" s="10"/>
      <c r="B40" s="5"/>
      <c r="C40" s="10"/>
      <c r="D40" s="10"/>
      <c r="E40" s="5"/>
      <c r="F40" s="10"/>
      <c r="G40" s="10"/>
      <c r="H40" s="5"/>
      <c r="I40" s="5"/>
    </row>
    <row r="41" spans="1:9" ht="15" customHeight="1" x14ac:dyDescent="0.3">
      <c r="A41" s="10"/>
      <c r="B41" s="5"/>
      <c r="C41" s="10"/>
      <c r="D41" s="10"/>
      <c r="E41" s="5"/>
      <c r="F41" s="10"/>
      <c r="G41" s="10"/>
      <c r="H41" s="5"/>
      <c r="I41" s="5"/>
    </row>
    <row r="42" spans="1:9" ht="15" customHeight="1" x14ac:dyDescent="0.3">
      <c r="A42" s="10"/>
      <c r="B42" s="5"/>
      <c r="C42" s="10"/>
      <c r="D42" s="10"/>
      <c r="E42" s="5"/>
      <c r="F42" s="10"/>
      <c r="G42" s="10"/>
      <c r="H42" s="5"/>
      <c r="I42" s="5"/>
    </row>
    <row r="43" spans="1:9" ht="15" customHeight="1" x14ac:dyDescent="0.3">
      <c r="A43" s="10"/>
      <c r="B43" s="5"/>
      <c r="C43" s="10"/>
      <c r="D43" s="10"/>
      <c r="E43" s="5"/>
      <c r="F43" s="10"/>
      <c r="G43" s="10"/>
      <c r="H43" s="5"/>
      <c r="I43" s="5"/>
    </row>
    <row r="44" spans="1:9" ht="15" customHeight="1" x14ac:dyDescent="0.3">
      <c r="A44" s="10"/>
      <c r="B44" s="5"/>
      <c r="C44" s="10"/>
      <c r="D44" s="10"/>
      <c r="E44" s="5"/>
      <c r="F44" s="10"/>
      <c r="G44" s="10"/>
      <c r="H44" s="5"/>
      <c r="I44" s="5"/>
    </row>
    <row r="45" spans="1:9" ht="15" customHeight="1" x14ac:dyDescent="0.3">
      <c r="A45" s="10"/>
      <c r="B45" s="5"/>
      <c r="C45" s="10"/>
      <c r="D45" s="10"/>
      <c r="E45" s="5"/>
      <c r="F45" s="10"/>
      <c r="G45" s="10"/>
      <c r="H45" s="5"/>
      <c r="I45" s="5"/>
    </row>
    <row r="46" spans="1:9" ht="15" customHeight="1" x14ac:dyDescent="0.3">
      <c r="A46" s="10"/>
      <c r="B46" s="5"/>
      <c r="C46" s="10"/>
      <c r="D46" s="10"/>
      <c r="E46" s="5"/>
      <c r="F46" s="10"/>
      <c r="G46" s="10"/>
      <c r="H46" s="5"/>
      <c r="I46" s="5"/>
    </row>
    <row r="47" spans="1:9" ht="15" customHeight="1" x14ac:dyDescent="0.3">
      <c r="A47" s="10"/>
      <c r="B47" s="5"/>
      <c r="C47" s="10"/>
      <c r="D47" s="10"/>
      <c r="E47" s="5"/>
      <c r="F47" s="10"/>
      <c r="G47" s="10"/>
      <c r="H47" s="5"/>
      <c r="I47" s="5"/>
    </row>
    <row r="48" spans="1:9" ht="15" customHeight="1" x14ac:dyDescent="0.3">
      <c r="A48" s="10"/>
      <c r="B48" s="5"/>
      <c r="C48" s="10"/>
      <c r="D48" s="10"/>
      <c r="E48" s="5"/>
      <c r="F48" s="10"/>
      <c r="G48" s="10"/>
      <c r="H48" s="5"/>
      <c r="I48" s="5"/>
    </row>
    <row r="49" spans="1:9" ht="15" customHeight="1" x14ac:dyDescent="0.3">
      <c r="A49" s="10"/>
      <c r="B49" s="5"/>
      <c r="C49" s="10"/>
      <c r="D49" s="10"/>
      <c r="E49" s="5"/>
      <c r="F49" s="10"/>
      <c r="G49" s="10"/>
      <c r="H49" s="5"/>
      <c r="I49" s="5"/>
    </row>
    <row r="50" spans="1:9" ht="15" customHeight="1" x14ac:dyDescent="0.3">
      <c r="A50" s="10"/>
      <c r="B50" s="5"/>
      <c r="C50" s="10"/>
      <c r="D50" s="10"/>
      <c r="E50" s="5"/>
      <c r="F50" s="10"/>
      <c r="G50" s="10"/>
      <c r="H50" s="5"/>
      <c r="I50" s="5"/>
    </row>
    <row r="51" spans="1:9" ht="15" customHeight="1" x14ac:dyDescent="0.3">
      <c r="A51" s="10"/>
      <c r="B51" s="5"/>
      <c r="C51" s="10"/>
      <c r="D51" s="10"/>
      <c r="E51" s="5"/>
      <c r="F51" s="10"/>
      <c r="G51" s="10"/>
      <c r="H51" s="5"/>
      <c r="I51" s="5"/>
    </row>
    <row r="52" spans="1:9" ht="15" customHeight="1" x14ac:dyDescent="0.3">
      <c r="A52" s="10"/>
      <c r="B52" s="5"/>
      <c r="C52" s="10"/>
      <c r="D52" s="10"/>
      <c r="E52" s="5"/>
      <c r="F52" s="10"/>
      <c r="G52" s="10"/>
      <c r="H52" s="5"/>
      <c r="I52" s="5"/>
    </row>
    <row r="53" spans="1:9" ht="15" customHeight="1" x14ac:dyDescent="0.3">
      <c r="A53" s="10"/>
      <c r="B53" s="5"/>
      <c r="C53" s="10"/>
      <c r="D53" s="10"/>
      <c r="E53" s="5"/>
      <c r="F53" s="10"/>
      <c r="G53" s="10"/>
      <c r="H53" s="5"/>
      <c r="I53" s="5"/>
    </row>
    <row r="54" spans="1:9" ht="15" customHeight="1" x14ac:dyDescent="0.3">
      <c r="A54" s="10"/>
      <c r="B54" s="5"/>
      <c r="C54" s="10"/>
      <c r="D54" s="10"/>
      <c r="E54" s="5"/>
      <c r="F54" s="10"/>
      <c r="G54" s="10"/>
      <c r="H54" s="5"/>
      <c r="I54" s="5"/>
    </row>
    <row r="55" spans="1:9" ht="15" customHeight="1" x14ac:dyDescent="0.3">
      <c r="A55" s="10"/>
      <c r="B55" s="5"/>
      <c r="C55" s="10"/>
      <c r="D55" s="10"/>
      <c r="E55" s="5"/>
      <c r="F55" s="10"/>
      <c r="G55" s="10"/>
      <c r="H55" s="5"/>
      <c r="I55" s="5"/>
    </row>
    <row r="56" spans="1:9" ht="15" customHeight="1" x14ac:dyDescent="0.3">
      <c r="A56" s="10"/>
      <c r="B56" s="5"/>
      <c r="C56" s="10"/>
      <c r="D56" s="10"/>
      <c r="E56" s="5"/>
      <c r="F56" s="10"/>
      <c r="G56" s="10"/>
      <c r="H56" s="5"/>
      <c r="I56" s="5"/>
    </row>
    <row r="57" spans="1:9" ht="15" customHeight="1" x14ac:dyDescent="0.3">
      <c r="A57" s="10"/>
      <c r="B57" s="5"/>
      <c r="C57" s="10"/>
      <c r="D57" s="10"/>
      <c r="E57" s="5"/>
      <c r="F57" s="10"/>
      <c r="G57" s="10"/>
      <c r="H57" s="5"/>
      <c r="I57" s="5"/>
    </row>
    <row r="58" spans="1:9" ht="15" customHeight="1" x14ac:dyDescent="0.3">
      <c r="A58" s="10"/>
      <c r="B58" s="5"/>
      <c r="C58" s="10"/>
      <c r="D58" s="10"/>
      <c r="E58" s="5"/>
      <c r="F58" s="10"/>
      <c r="G58" s="10"/>
      <c r="H58" s="5"/>
      <c r="I58" s="5"/>
    </row>
    <row r="59" spans="1:9" ht="15" customHeight="1" x14ac:dyDescent="0.3">
      <c r="A59" s="10"/>
      <c r="B59" s="5"/>
      <c r="C59" s="10"/>
      <c r="D59" s="10"/>
      <c r="E59" s="5"/>
      <c r="F59" s="10"/>
      <c r="G59" s="10"/>
      <c r="H59" s="5"/>
      <c r="I59" s="5"/>
    </row>
    <row r="60" spans="1:9" ht="15" customHeight="1" x14ac:dyDescent="0.3">
      <c r="A60" s="10"/>
      <c r="B60" s="5"/>
      <c r="C60" s="10"/>
      <c r="D60" s="10"/>
      <c r="E60" s="5"/>
      <c r="F60" s="10"/>
      <c r="G60" s="10"/>
      <c r="H60" s="5"/>
      <c r="I60" s="5"/>
    </row>
  </sheetData>
  <mergeCells count="1">
    <mergeCell ref="A1:I1"/>
  </mergeCells>
  <dataValidations count="3">
    <dataValidation type="list" allowBlank="1" sqref="F4:F60" xr:uid="{00000000-0002-0000-0100-000000000000}">
      <formula1>"To Do,In Progress,Code Review,Done,Blocked"</formula1>
      <formula2>0</formula2>
    </dataValidation>
    <dataValidation type="list" allowBlank="1" sqref="E4:E60" xr:uid="{00000000-0002-0000-0100-000001000000}">
      <formula1>"Automation,Security Automation,Cybersecurity,Proces,DevSecOps"</formula1>
      <formula2>0</formula2>
    </dataValidation>
    <dataValidation type="list" allowBlank="1" sqref="C4:C60" xr:uid="{00000000-0002-0000-0100-000002000000}">
      <formula1>"1,2,3,4"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zoomScaleNormal="100" workbookViewId="0">
      <pane ySplit="3" topLeftCell="A4" activePane="bottomLeft" state="frozen"/>
      <selection pane="bottomLeft" activeCell="E12" sqref="E12"/>
    </sheetView>
  </sheetViews>
  <sheetFormatPr defaultColWidth="8.6640625" defaultRowHeight="14.4" x14ac:dyDescent="0.3"/>
  <cols>
    <col min="1" max="1" width="8" customWidth="1"/>
    <col min="2" max="2" width="11" customWidth="1"/>
    <col min="3" max="3" width="12" customWidth="1"/>
    <col min="4" max="5" width="30" customWidth="1"/>
    <col min="6" max="6" width="26" customWidth="1"/>
    <col min="7" max="8" width="12" customWidth="1"/>
    <col min="9" max="9" width="36" customWidth="1"/>
  </cols>
  <sheetData>
    <row r="1" spans="1:9" ht="24" customHeight="1" x14ac:dyDescent="0.3">
      <c r="A1" s="1" t="s">
        <v>41</v>
      </c>
      <c r="B1" s="1"/>
      <c r="C1" s="1"/>
      <c r="D1" s="1"/>
      <c r="E1" s="1"/>
      <c r="F1" s="1"/>
      <c r="G1" s="1"/>
      <c r="H1" s="1"/>
      <c r="I1" s="1"/>
    </row>
    <row r="3" spans="1:9" ht="23.25" customHeight="1" x14ac:dyDescent="0.3">
      <c r="A3" s="9" t="s">
        <v>22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</row>
    <row r="4" spans="1:9" ht="28.8" customHeight="1" x14ac:dyDescent="0.3">
      <c r="A4" s="10">
        <v>0</v>
      </c>
      <c r="B4" s="10" t="s">
        <v>50</v>
      </c>
      <c r="C4" s="14">
        <v>9</v>
      </c>
      <c r="D4" s="5" t="s">
        <v>51</v>
      </c>
      <c r="E4" s="5" t="s">
        <v>52</v>
      </c>
      <c r="F4" s="5" t="s">
        <v>53</v>
      </c>
      <c r="G4" s="10" t="s">
        <v>109</v>
      </c>
      <c r="H4" s="14" t="s">
        <v>109</v>
      </c>
      <c r="I4" s="5" t="s">
        <v>54</v>
      </c>
    </row>
    <row r="5" spans="1:9" ht="15" customHeight="1" x14ac:dyDescent="0.3">
      <c r="A5" s="10">
        <v>1</v>
      </c>
      <c r="B5" s="10"/>
      <c r="C5" s="10"/>
      <c r="D5" s="5"/>
      <c r="E5" s="5"/>
      <c r="F5" s="5"/>
      <c r="G5" s="10"/>
      <c r="H5" s="10"/>
      <c r="I5" s="5"/>
    </row>
    <row r="6" spans="1:9" ht="15" customHeight="1" x14ac:dyDescent="0.3">
      <c r="A6" s="10">
        <v>2</v>
      </c>
      <c r="B6" s="10"/>
      <c r="C6" s="10"/>
      <c r="D6" s="5"/>
      <c r="E6" s="5"/>
      <c r="F6" s="5"/>
      <c r="G6" s="10"/>
      <c r="H6" s="10"/>
      <c r="I6" s="5"/>
    </row>
    <row r="7" spans="1:9" ht="15" customHeight="1" x14ac:dyDescent="0.3">
      <c r="A7" s="10">
        <v>3</v>
      </c>
      <c r="B7" s="10"/>
      <c r="C7" s="10"/>
      <c r="D7" s="5"/>
      <c r="E7" s="5"/>
      <c r="F7" s="5"/>
      <c r="G7" s="10"/>
      <c r="H7" s="10"/>
      <c r="I7" s="5"/>
    </row>
    <row r="8" spans="1:9" ht="15" customHeight="1" x14ac:dyDescent="0.3">
      <c r="A8" s="10">
        <v>4</v>
      </c>
      <c r="B8" s="10"/>
      <c r="C8" s="10"/>
      <c r="D8" s="5"/>
      <c r="E8" s="5"/>
      <c r="F8" s="5"/>
      <c r="G8" s="10"/>
      <c r="H8" s="10"/>
      <c r="I8" s="5"/>
    </row>
    <row r="9" spans="1:9" ht="15" customHeight="1" x14ac:dyDescent="0.3">
      <c r="A9" s="10">
        <v>5</v>
      </c>
      <c r="B9" s="10"/>
      <c r="C9" s="10"/>
      <c r="D9" s="5"/>
      <c r="E9" s="5"/>
      <c r="F9" s="5"/>
      <c r="G9" s="10"/>
      <c r="H9" s="10"/>
      <c r="I9" s="5"/>
    </row>
    <row r="10" spans="1:9" ht="15" customHeight="1" x14ac:dyDescent="0.3">
      <c r="A10" s="10">
        <v>6</v>
      </c>
      <c r="B10" s="10"/>
      <c r="C10" s="10"/>
      <c r="D10" s="5"/>
      <c r="E10" s="5"/>
      <c r="F10" s="5"/>
      <c r="G10" s="10"/>
      <c r="H10" s="10"/>
      <c r="I10" s="5"/>
    </row>
    <row r="11" spans="1:9" ht="15" customHeight="1" x14ac:dyDescent="0.3">
      <c r="A11" s="10">
        <v>7</v>
      </c>
      <c r="B11" s="10"/>
      <c r="C11" s="10"/>
      <c r="D11" s="5"/>
      <c r="E11" s="5"/>
      <c r="F11" s="5"/>
      <c r="G11" s="10"/>
      <c r="H11" s="10"/>
      <c r="I11" s="5"/>
    </row>
    <row r="12" spans="1:9" ht="15" customHeight="1" x14ac:dyDescent="0.3">
      <c r="A12" s="10">
        <v>8</v>
      </c>
      <c r="B12" s="10"/>
      <c r="C12" s="10"/>
      <c r="D12" s="5"/>
      <c r="E12" s="5"/>
      <c r="F12" s="5"/>
      <c r="G12" s="10"/>
      <c r="H12" s="10"/>
      <c r="I12" s="5"/>
    </row>
    <row r="13" spans="1:9" ht="15" customHeight="1" x14ac:dyDescent="0.3">
      <c r="A13" s="10">
        <v>9</v>
      </c>
      <c r="B13" s="10"/>
      <c r="C13" s="10"/>
      <c r="D13" s="5"/>
      <c r="E13" s="5"/>
      <c r="F13" s="5"/>
      <c r="G13" s="10"/>
      <c r="H13" s="10"/>
      <c r="I13" s="5"/>
    </row>
    <row r="14" spans="1:9" ht="15" customHeight="1" x14ac:dyDescent="0.3">
      <c r="A14" s="10">
        <v>10</v>
      </c>
      <c r="B14" s="10"/>
      <c r="C14" s="10"/>
      <c r="D14" s="5"/>
      <c r="E14" s="5"/>
      <c r="F14" s="5"/>
      <c r="G14" s="10"/>
      <c r="H14" s="10"/>
      <c r="I14" s="5"/>
    </row>
    <row r="15" spans="1:9" ht="15" customHeight="1" x14ac:dyDescent="0.3">
      <c r="A15" s="10">
        <v>11</v>
      </c>
      <c r="B15" s="10"/>
      <c r="C15" s="10"/>
      <c r="D15" s="5"/>
      <c r="E15" s="5"/>
      <c r="F15" s="5"/>
      <c r="G15" s="10"/>
      <c r="H15" s="10"/>
      <c r="I15" s="5"/>
    </row>
    <row r="16" spans="1:9" ht="15" customHeight="1" x14ac:dyDescent="0.3">
      <c r="A16" s="10">
        <v>12</v>
      </c>
      <c r="B16" s="10"/>
      <c r="C16" s="10"/>
      <c r="D16" s="5"/>
      <c r="E16" s="5"/>
      <c r="F16" s="5"/>
      <c r="G16" s="10"/>
      <c r="H16" s="10"/>
      <c r="I16" s="5"/>
    </row>
    <row r="17" spans="1:9" ht="15" customHeight="1" x14ac:dyDescent="0.3">
      <c r="A17" s="10">
        <v>13</v>
      </c>
      <c r="B17" s="10"/>
      <c r="C17" s="10"/>
      <c r="D17" s="5"/>
      <c r="E17" s="5"/>
      <c r="F17" s="5"/>
      <c r="G17" s="10"/>
      <c r="H17" s="10"/>
      <c r="I17" s="5"/>
    </row>
    <row r="18" spans="1:9" ht="15" customHeight="1" x14ac:dyDescent="0.3">
      <c r="A18" s="10">
        <v>14</v>
      </c>
      <c r="B18" s="10"/>
      <c r="C18" s="10"/>
      <c r="D18" s="5"/>
      <c r="E18" s="5"/>
      <c r="F18" s="5"/>
      <c r="G18" s="10"/>
      <c r="H18" s="10"/>
      <c r="I18" s="5"/>
    </row>
    <row r="19" spans="1:9" ht="15" customHeight="1" x14ac:dyDescent="0.3">
      <c r="A19" s="10">
        <v>15</v>
      </c>
      <c r="B19" s="10"/>
      <c r="C19" s="10"/>
      <c r="D19" s="5"/>
      <c r="E19" s="5"/>
      <c r="F19" s="5"/>
      <c r="G19" s="10"/>
      <c r="H19" s="10"/>
      <c r="I19" s="5"/>
    </row>
    <row r="20" spans="1:9" ht="15" customHeight="1" x14ac:dyDescent="0.3">
      <c r="A20" s="10">
        <v>16</v>
      </c>
      <c r="B20" s="10"/>
      <c r="C20" s="10"/>
      <c r="D20" s="5"/>
      <c r="E20" s="5"/>
      <c r="F20" s="5"/>
      <c r="G20" s="10"/>
      <c r="H20" s="10"/>
      <c r="I20" s="5"/>
    </row>
    <row r="21" spans="1:9" ht="15" customHeight="1" x14ac:dyDescent="0.3">
      <c r="A21" s="10">
        <v>17</v>
      </c>
      <c r="B21" s="10"/>
      <c r="C21" s="10"/>
      <c r="D21" s="5"/>
      <c r="E21" s="5"/>
      <c r="F21" s="5"/>
      <c r="G21" s="10"/>
      <c r="H21" s="10"/>
      <c r="I21" s="5"/>
    </row>
    <row r="22" spans="1:9" ht="15" customHeight="1" x14ac:dyDescent="0.3">
      <c r="A22" s="10">
        <v>18</v>
      </c>
      <c r="B22" s="10"/>
      <c r="C22" s="10"/>
      <c r="D22" s="5"/>
      <c r="E22" s="5"/>
      <c r="F22" s="5"/>
      <c r="G22" s="10"/>
      <c r="H22" s="10"/>
      <c r="I22" s="5"/>
    </row>
    <row r="23" spans="1:9" ht="15" customHeight="1" x14ac:dyDescent="0.3">
      <c r="A23" s="10">
        <v>19</v>
      </c>
      <c r="B23" s="10"/>
      <c r="C23" s="10"/>
      <c r="D23" s="5"/>
      <c r="E23" s="5"/>
      <c r="F23" s="5"/>
      <c r="G23" s="10"/>
      <c r="H23" s="10"/>
      <c r="I23" s="5"/>
    </row>
    <row r="24" spans="1:9" ht="15" customHeight="1" x14ac:dyDescent="0.3">
      <c r="A24" s="10">
        <v>20</v>
      </c>
      <c r="B24" s="10"/>
      <c r="C24" s="10"/>
      <c r="D24" s="5"/>
      <c r="E24" s="5"/>
      <c r="F24" s="5"/>
      <c r="G24" s="10"/>
      <c r="H24" s="10"/>
      <c r="I24" s="5"/>
    </row>
    <row r="25" spans="1:9" ht="15" customHeight="1" x14ac:dyDescent="0.3">
      <c r="A25" s="10">
        <v>21</v>
      </c>
      <c r="B25" s="10"/>
      <c r="C25" s="10"/>
      <c r="D25" s="5"/>
      <c r="E25" s="5"/>
      <c r="F25" s="5"/>
      <c r="G25" s="10"/>
      <c r="H25" s="10"/>
      <c r="I25" s="5"/>
    </row>
    <row r="26" spans="1:9" ht="15" customHeight="1" x14ac:dyDescent="0.3">
      <c r="A26" s="10">
        <v>22</v>
      </c>
      <c r="B26" s="10"/>
      <c r="C26" s="10"/>
      <c r="D26" s="5"/>
      <c r="E26" s="5"/>
      <c r="F26" s="5"/>
      <c r="G26" s="10"/>
      <c r="H26" s="10"/>
      <c r="I26" s="5"/>
    </row>
    <row r="27" spans="1:9" ht="15" customHeight="1" x14ac:dyDescent="0.3">
      <c r="A27" s="10">
        <v>23</v>
      </c>
      <c r="B27" s="10"/>
      <c r="C27" s="10"/>
      <c r="D27" s="5"/>
      <c r="E27" s="5"/>
      <c r="F27" s="5"/>
      <c r="G27" s="10"/>
      <c r="H27" s="10"/>
      <c r="I27" s="5"/>
    </row>
    <row r="28" spans="1:9" ht="15" customHeight="1" x14ac:dyDescent="0.3">
      <c r="A28" s="10">
        <v>24</v>
      </c>
      <c r="B28" s="10"/>
      <c r="C28" s="10"/>
      <c r="D28" s="5"/>
      <c r="E28" s="5"/>
      <c r="F28" s="5"/>
      <c r="G28" s="10"/>
      <c r="H28" s="10"/>
      <c r="I28" s="5"/>
    </row>
    <row r="29" spans="1:9" ht="15" customHeight="1" x14ac:dyDescent="0.3">
      <c r="A29" s="10">
        <v>25</v>
      </c>
      <c r="B29" s="10"/>
      <c r="C29" s="10"/>
      <c r="D29" s="5"/>
      <c r="E29" s="5"/>
      <c r="F29" s="5"/>
      <c r="G29" s="10"/>
      <c r="H29" s="10"/>
      <c r="I29" s="5"/>
    </row>
    <row r="30" spans="1:9" ht="15" customHeight="1" x14ac:dyDescent="0.3">
      <c r="A30" s="10">
        <v>26</v>
      </c>
      <c r="B30" s="10"/>
      <c r="C30" s="10"/>
      <c r="D30" s="5"/>
      <c r="E30" s="5"/>
      <c r="F30" s="5"/>
      <c r="G30" s="10"/>
      <c r="H30" s="10"/>
      <c r="I30" s="5"/>
    </row>
    <row r="31" spans="1:9" ht="15" customHeight="1" x14ac:dyDescent="0.3">
      <c r="A31" s="10">
        <v>27</v>
      </c>
      <c r="B31" s="10"/>
      <c r="C31" s="10"/>
      <c r="D31" s="5"/>
      <c r="E31" s="5"/>
      <c r="F31" s="5"/>
      <c r="G31" s="10"/>
      <c r="H31" s="10"/>
      <c r="I31" s="5"/>
    </row>
    <row r="32" spans="1:9" ht="15" customHeight="1" x14ac:dyDescent="0.3">
      <c r="A32" s="10">
        <v>28</v>
      </c>
      <c r="B32" s="10"/>
      <c r="C32" s="10"/>
      <c r="D32" s="5"/>
      <c r="E32" s="5"/>
      <c r="F32" s="5"/>
      <c r="G32" s="10"/>
      <c r="H32" s="10"/>
      <c r="I32" s="5"/>
    </row>
    <row r="33" spans="1:9" ht="15" customHeight="1" x14ac:dyDescent="0.3">
      <c r="A33" s="10">
        <v>29</v>
      </c>
      <c r="B33" s="10"/>
      <c r="C33" s="10"/>
      <c r="D33" s="5"/>
      <c r="E33" s="5"/>
      <c r="F33" s="5"/>
      <c r="G33" s="10"/>
      <c r="H33" s="10"/>
      <c r="I33" s="5"/>
    </row>
    <row r="34" spans="1:9" ht="15" customHeight="1" x14ac:dyDescent="0.3">
      <c r="A34" s="10">
        <v>30</v>
      </c>
      <c r="B34" s="10"/>
      <c r="C34" s="10"/>
      <c r="D34" s="5"/>
      <c r="E34" s="5"/>
      <c r="F34" s="5"/>
      <c r="G34" s="10"/>
      <c r="H34" s="10"/>
      <c r="I34" s="5"/>
    </row>
    <row r="35" spans="1:9" ht="15" customHeight="1" x14ac:dyDescent="0.3">
      <c r="A35" s="10">
        <v>31</v>
      </c>
      <c r="B35" s="10"/>
      <c r="C35" s="10"/>
      <c r="D35" s="5"/>
      <c r="E35" s="5"/>
      <c r="F35" s="5"/>
      <c r="G35" s="10"/>
      <c r="H35" s="10"/>
      <c r="I35" s="5"/>
    </row>
    <row r="36" spans="1:9" ht="15" customHeight="1" x14ac:dyDescent="0.3">
      <c r="A36" s="10">
        <v>32</v>
      </c>
      <c r="B36" s="10"/>
      <c r="C36" s="10"/>
      <c r="D36" s="5"/>
      <c r="E36" s="5"/>
      <c r="F36" s="5"/>
      <c r="G36" s="10"/>
      <c r="H36" s="10"/>
      <c r="I36" s="5"/>
    </row>
    <row r="37" spans="1:9" ht="15" customHeight="1" x14ac:dyDescent="0.3">
      <c r="A37" s="10">
        <v>33</v>
      </c>
      <c r="B37" s="10"/>
      <c r="C37" s="10"/>
      <c r="D37" s="5"/>
      <c r="E37" s="5"/>
      <c r="F37" s="5"/>
      <c r="G37" s="10"/>
      <c r="H37" s="10"/>
      <c r="I37" s="5"/>
    </row>
    <row r="38" spans="1:9" ht="15" customHeight="1" x14ac:dyDescent="0.3">
      <c r="A38" s="10">
        <v>34</v>
      </c>
      <c r="B38" s="10"/>
      <c r="C38" s="10"/>
      <c r="D38" s="5"/>
      <c r="E38" s="5"/>
      <c r="F38" s="5"/>
      <c r="G38" s="10"/>
      <c r="H38" s="10"/>
      <c r="I38" s="5"/>
    </row>
    <row r="39" spans="1:9" ht="15" customHeight="1" x14ac:dyDescent="0.3">
      <c r="A39" s="10">
        <v>35</v>
      </c>
      <c r="B39" s="10"/>
      <c r="C39" s="10"/>
      <c r="D39" s="5"/>
      <c r="E39" s="5"/>
      <c r="F39" s="5"/>
      <c r="G39" s="10"/>
      <c r="H39" s="10"/>
      <c r="I39" s="5"/>
    </row>
    <row r="40" spans="1:9" ht="15" customHeight="1" x14ac:dyDescent="0.3">
      <c r="A40" s="10">
        <v>36</v>
      </c>
      <c r="B40" s="10"/>
      <c r="C40" s="10"/>
      <c r="D40" s="5"/>
      <c r="E40" s="5"/>
      <c r="F40" s="5"/>
      <c r="G40" s="10"/>
      <c r="H40" s="10"/>
      <c r="I40" s="5"/>
    </row>
    <row r="41" spans="1:9" ht="15" customHeight="1" x14ac:dyDescent="0.3">
      <c r="A41" s="10">
        <v>37</v>
      </c>
      <c r="B41" s="10"/>
      <c r="C41" s="10"/>
      <c r="D41" s="5"/>
      <c r="E41" s="5"/>
      <c r="F41" s="5"/>
      <c r="G41" s="10"/>
      <c r="H41" s="10"/>
      <c r="I41" s="5"/>
    </row>
    <row r="42" spans="1:9" ht="15" customHeight="1" x14ac:dyDescent="0.3">
      <c r="A42" s="10">
        <v>38</v>
      </c>
      <c r="B42" s="10"/>
      <c r="C42" s="10"/>
      <c r="D42" s="5"/>
      <c r="E42" s="5"/>
      <c r="F42" s="5"/>
      <c r="G42" s="10"/>
      <c r="H42" s="10"/>
      <c r="I42" s="5"/>
    </row>
    <row r="43" spans="1:9" ht="15" customHeight="1" x14ac:dyDescent="0.3">
      <c r="A43" s="10">
        <v>39</v>
      </c>
      <c r="B43" s="10"/>
      <c r="C43" s="10"/>
      <c r="D43" s="5"/>
      <c r="E43" s="5"/>
      <c r="F43" s="5"/>
      <c r="G43" s="10"/>
      <c r="H43" s="10"/>
      <c r="I43" s="5"/>
    </row>
    <row r="44" spans="1:9" ht="15" customHeight="1" x14ac:dyDescent="0.3">
      <c r="A44" s="10">
        <v>40</v>
      </c>
      <c r="B44" s="10"/>
      <c r="C44" s="10"/>
      <c r="D44" s="5"/>
      <c r="E44" s="5"/>
      <c r="F44" s="5"/>
      <c r="G44" s="10"/>
      <c r="H44" s="10"/>
      <c r="I44" s="5"/>
    </row>
    <row r="45" spans="1:9" ht="15" customHeight="1" x14ac:dyDescent="0.3">
      <c r="A45" s="10">
        <v>41</v>
      </c>
      <c r="B45" s="10"/>
      <c r="C45" s="10"/>
      <c r="D45" s="5"/>
      <c r="E45" s="5"/>
      <c r="F45" s="5"/>
      <c r="G45" s="10"/>
      <c r="H45" s="10"/>
      <c r="I45" s="5"/>
    </row>
    <row r="46" spans="1:9" ht="15" customHeight="1" x14ac:dyDescent="0.3">
      <c r="A46" s="10">
        <v>42</v>
      </c>
      <c r="B46" s="10"/>
      <c r="C46" s="10"/>
      <c r="D46" s="5"/>
      <c r="E46" s="5"/>
      <c r="F46" s="5"/>
      <c r="G46" s="10"/>
      <c r="H46" s="10"/>
      <c r="I46" s="5"/>
    </row>
    <row r="47" spans="1:9" ht="15" customHeight="1" x14ac:dyDescent="0.3">
      <c r="A47" s="10">
        <v>43</v>
      </c>
      <c r="B47" s="10"/>
      <c r="C47" s="10"/>
      <c r="D47" s="5"/>
      <c r="E47" s="5"/>
      <c r="F47" s="5"/>
      <c r="G47" s="10"/>
      <c r="H47" s="10"/>
      <c r="I47" s="5"/>
    </row>
    <row r="48" spans="1:9" ht="15" customHeight="1" x14ac:dyDescent="0.3">
      <c r="A48" s="10">
        <v>44</v>
      </c>
      <c r="B48" s="10"/>
      <c r="C48" s="10"/>
      <c r="D48" s="5"/>
      <c r="E48" s="5"/>
      <c r="F48" s="5"/>
      <c r="G48" s="10"/>
      <c r="H48" s="10"/>
      <c r="I48" s="5"/>
    </row>
    <row r="49" spans="1:9" ht="15" customHeight="1" x14ac:dyDescent="0.3">
      <c r="A49" s="10">
        <v>45</v>
      </c>
      <c r="B49" s="10"/>
      <c r="C49" s="10"/>
      <c r="D49" s="5"/>
      <c r="E49" s="5"/>
      <c r="F49" s="5"/>
      <c r="G49" s="10"/>
      <c r="H49" s="10"/>
      <c r="I49" s="5"/>
    </row>
    <row r="50" spans="1:9" ht="15" customHeight="1" x14ac:dyDescent="0.3">
      <c r="A50" s="10">
        <v>46</v>
      </c>
      <c r="B50" s="10"/>
      <c r="C50" s="10"/>
      <c r="D50" s="5"/>
      <c r="E50" s="5"/>
      <c r="F50" s="5"/>
      <c r="G50" s="10"/>
      <c r="H50" s="10"/>
      <c r="I50" s="5"/>
    </row>
    <row r="51" spans="1:9" ht="15" customHeight="1" x14ac:dyDescent="0.3">
      <c r="A51" s="10">
        <v>47</v>
      </c>
      <c r="B51" s="10"/>
      <c r="C51" s="10"/>
      <c r="D51" s="5"/>
      <c r="E51" s="5"/>
      <c r="F51" s="5"/>
      <c r="G51" s="10"/>
      <c r="H51" s="10"/>
      <c r="I51" s="5"/>
    </row>
    <row r="52" spans="1:9" ht="15" customHeight="1" x14ac:dyDescent="0.3">
      <c r="A52" s="10">
        <v>48</v>
      </c>
      <c r="B52" s="10"/>
      <c r="C52" s="10"/>
      <c r="D52" s="5"/>
      <c r="E52" s="5"/>
      <c r="F52" s="5"/>
      <c r="G52" s="10"/>
      <c r="H52" s="10"/>
      <c r="I52" s="5"/>
    </row>
    <row r="53" spans="1:9" ht="15" customHeight="1" x14ac:dyDescent="0.3">
      <c r="A53" s="10">
        <v>49</v>
      </c>
      <c r="B53" s="10"/>
      <c r="C53" s="10"/>
      <c r="D53" s="5"/>
      <c r="E53" s="5"/>
      <c r="F53" s="5"/>
      <c r="G53" s="10"/>
      <c r="H53" s="10"/>
      <c r="I53" s="5"/>
    </row>
    <row r="54" spans="1:9" ht="15" customHeight="1" x14ac:dyDescent="0.3">
      <c r="A54" s="10">
        <v>50</v>
      </c>
      <c r="B54" s="10"/>
      <c r="C54" s="10"/>
      <c r="D54" s="5"/>
      <c r="E54" s="5"/>
      <c r="F54" s="5"/>
      <c r="G54" s="10"/>
      <c r="H54" s="10"/>
      <c r="I54" s="5"/>
    </row>
    <row r="55" spans="1:9" ht="15" customHeight="1" x14ac:dyDescent="0.3">
      <c r="A55" s="10">
        <v>51</v>
      </c>
      <c r="B55" s="10"/>
      <c r="C55" s="10"/>
      <c r="D55" s="5"/>
      <c r="E55" s="5"/>
      <c r="F55" s="5"/>
      <c r="G55" s="10"/>
      <c r="H55" s="10"/>
      <c r="I55" s="5"/>
    </row>
  </sheetData>
  <mergeCells count="1">
    <mergeCell ref="A1:I1"/>
  </mergeCells>
  <dataValidations count="1">
    <dataValidation type="list" allowBlank="1" sqref="G4:H55" xr:uid="{00000000-0002-0000-0200-000000000000}">
      <formula1>"Áno,Nie"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zoomScaleNormal="100" workbookViewId="0">
      <pane ySplit="3" topLeftCell="A8" activePane="bottomLeft" state="frozen"/>
      <selection pane="bottomLeft" activeCell="I11" sqref="I11"/>
    </sheetView>
  </sheetViews>
  <sheetFormatPr defaultColWidth="8.6640625" defaultRowHeight="14.4" x14ac:dyDescent="0.3"/>
  <cols>
    <col min="1" max="1" width="26" customWidth="1"/>
    <col min="2" max="2" width="12" customWidth="1"/>
    <col min="3" max="5" width="14" customWidth="1"/>
    <col min="6" max="6" width="34" customWidth="1"/>
  </cols>
  <sheetData>
    <row r="1" spans="1:6" ht="24" customHeight="1" x14ac:dyDescent="0.3">
      <c r="A1" s="1" t="s">
        <v>55</v>
      </c>
      <c r="B1" s="1"/>
      <c r="C1" s="1"/>
      <c r="D1" s="1"/>
      <c r="E1" s="1"/>
      <c r="F1" s="1"/>
    </row>
    <row r="2" spans="1:6" ht="15" customHeight="1" x14ac:dyDescent="0.3">
      <c r="A2" s="11" t="s">
        <v>56</v>
      </c>
    </row>
    <row r="3" spans="1:6" ht="23.25" customHeight="1" x14ac:dyDescent="0.3">
      <c r="A3" s="9" t="s">
        <v>57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</row>
    <row r="4" spans="1:6" ht="15" customHeight="1" x14ac:dyDescent="0.3">
      <c r="A4" s="5" t="s">
        <v>63</v>
      </c>
      <c r="B4" s="5" t="s">
        <v>64</v>
      </c>
      <c r="C4" s="10">
        <v>2</v>
      </c>
      <c r="D4" s="10">
        <v>4</v>
      </c>
      <c r="E4" s="10" t="s">
        <v>38</v>
      </c>
      <c r="F4" s="5" t="s">
        <v>39</v>
      </c>
    </row>
    <row r="5" spans="1:6" ht="15" customHeight="1" x14ac:dyDescent="0.3">
      <c r="A5" s="5" t="s">
        <v>65</v>
      </c>
      <c r="B5" s="5" t="s">
        <v>64</v>
      </c>
      <c r="C5" s="10">
        <v>2</v>
      </c>
      <c r="D5" s="10">
        <v>4</v>
      </c>
      <c r="E5" s="10" t="s">
        <v>38</v>
      </c>
      <c r="F5" s="5" t="s">
        <v>66</v>
      </c>
    </row>
    <row r="6" spans="1:6" ht="15" customHeight="1" x14ac:dyDescent="0.3">
      <c r="A6" s="5" t="s">
        <v>67</v>
      </c>
      <c r="B6" s="5" t="s">
        <v>64</v>
      </c>
      <c r="C6" s="10">
        <v>3</v>
      </c>
      <c r="D6" s="10">
        <v>4</v>
      </c>
      <c r="E6" s="10" t="s">
        <v>38</v>
      </c>
      <c r="F6" s="5" t="s">
        <v>33</v>
      </c>
    </row>
    <row r="7" spans="1:6" ht="15" customHeight="1" x14ac:dyDescent="0.3">
      <c r="A7" s="5" t="s">
        <v>68</v>
      </c>
      <c r="B7" s="5" t="s">
        <v>69</v>
      </c>
      <c r="C7" s="10">
        <v>0</v>
      </c>
      <c r="D7" s="10">
        <v>3</v>
      </c>
      <c r="E7" s="10"/>
      <c r="F7" s="5"/>
    </row>
    <row r="8" spans="1:6" ht="15" customHeight="1" x14ac:dyDescent="0.3">
      <c r="A8" s="5" t="s">
        <v>70</v>
      </c>
      <c r="B8" s="5" t="s">
        <v>69</v>
      </c>
      <c r="C8" s="10">
        <v>0</v>
      </c>
      <c r="D8" s="10">
        <v>4</v>
      </c>
      <c r="E8" s="10"/>
      <c r="F8" s="5"/>
    </row>
    <row r="9" spans="1:6" ht="15" customHeight="1" x14ac:dyDescent="0.3">
      <c r="A9" s="5" t="s">
        <v>71</v>
      </c>
      <c r="B9" s="5" t="s">
        <v>72</v>
      </c>
      <c r="C9" s="10">
        <v>3</v>
      </c>
      <c r="D9" s="10">
        <v>3</v>
      </c>
      <c r="E9" s="10"/>
      <c r="F9" s="5"/>
    </row>
    <row r="10" spans="1:6" ht="15" customHeight="1" x14ac:dyDescent="0.3">
      <c r="A10" s="5" t="s">
        <v>73</v>
      </c>
      <c r="B10" s="5" t="s">
        <v>74</v>
      </c>
      <c r="C10" s="10">
        <v>0</v>
      </c>
      <c r="D10" s="10">
        <v>3</v>
      </c>
      <c r="E10" s="10"/>
      <c r="F10" s="5"/>
    </row>
    <row r="11" spans="1:6" ht="15" customHeight="1" x14ac:dyDescent="0.3">
      <c r="A11" s="5" t="s">
        <v>75</v>
      </c>
      <c r="B11" s="5" t="s">
        <v>74</v>
      </c>
      <c r="C11" s="10">
        <v>2</v>
      </c>
      <c r="D11" s="10">
        <v>4</v>
      </c>
      <c r="E11" s="10"/>
      <c r="F11" s="5"/>
    </row>
    <row r="12" spans="1:6" ht="15" customHeight="1" x14ac:dyDescent="0.3">
      <c r="A12" s="5" t="s">
        <v>76</v>
      </c>
      <c r="B12" s="5" t="s">
        <v>74</v>
      </c>
      <c r="C12" s="10">
        <v>0</v>
      </c>
      <c r="D12" s="10">
        <v>3</v>
      </c>
      <c r="E12" s="10"/>
      <c r="F12" s="5"/>
    </row>
    <row r="13" spans="1:6" ht="15" customHeight="1" x14ac:dyDescent="0.3">
      <c r="A13" s="5" t="s">
        <v>77</v>
      </c>
      <c r="B13" s="5" t="s">
        <v>74</v>
      </c>
      <c r="C13" s="10">
        <v>0</v>
      </c>
      <c r="D13" s="10">
        <v>3</v>
      </c>
      <c r="E13" s="10"/>
      <c r="F13" s="5"/>
    </row>
    <row r="14" spans="1:6" ht="15" customHeight="1" x14ac:dyDescent="0.3">
      <c r="A14" s="5" t="s">
        <v>78</v>
      </c>
      <c r="B14" s="5" t="s">
        <v>79</v>
      </c>
      <c r="C14" s="10">
        <v>0</v>
      </c>
      <c r="D14" s="10">
        <v>3</v>
      </c>
      <c r="E14" s="10"/>
      <c r="F14" s="5"/>
    </row>
    <row r="15" spans="1:6" ht="15" customHeight="1" x14ac:dyDescent="0.3">
      <c r="A15" s="5" t="s">
        <v>80</v>
      </c>
      <c r="B15" s="5" t="s">
        <v>79</v>
      </c>
      <c r="C15" s="10">
        <v>0</v>
      </c>
      <c r="D15" s="10">
        <v>3</v>
      </c>
      <c r="E15" s="10"/>
      <c r="F15" s="5"/>
    </row>
    <row r="16" spans="1:6" ht="15" customHeight="1" x14ac:dyDescent="0.3">
      <c r="A16" s="5" t="s">
        <v>81</v>
      </c>
      <c r="B16" s="5" t="s">
        <v>82</v>
      </c>
      <c r="C16" s="10">
        <v>0</v>
      </c>
      <c r="D16" s="10">
        <v>3</v>
      </c>
      <c r="E16" s="10"/>
      <c r="F16" s="5"/>
    </row>
    <row r="17" spans="1:6" ht="15" customHeight="1" x14ac:dyDescent="0.3">
      <c r="A17" s="5" t="s">
        <v>37</v>
      </c>
      <c r="B17" s="5" t="s">
        <v>82</v>
      </c>
      <c r="C17" s="10">
        <v>0</v>
      </c>
      <c r="D17" s="10">
        <v>4</v>
      </c>
      <c r="E17" s="10"/>
      <c r="F17" s="5"/>
    </row>
    <row r="18" spans="1:6" ht="15" customHeight="1" x14ac:dyDescent="0.3">
      <c r="A18" s="5" t="s">
        <v>83</v>
      </c>
      <c r="B18" s="5" t="s">
        <v>82</v>
      </c>
      <c r="C18" s="10">
        <v>0</v>
      </c>
      <c r="D18" s="10">
        <v>3</v>
      </c>
      <c r="E18" s="10"/>
      <c r="F18" s="5"/>
    </row>
    <row r="19" spans="1:6" ht="15" customHeight="1" x14ac:dyDescent="0.3">
      <c r="A19" s="5" t="s">
        <v>84</v>
      </c>
      <c r="B19" s="5" t="s">
        <v>82</v>
      </c>
      <c r="C19" s="10">
        <v>0</v>
      </c>
      <c r="D19" s="10">
        <v>3</v>
      </c>
      <c r="E19" s="10"/>
      <c r="F19" s="5"/>
    </row>
    <row r="20" spans="1:6" ht="15" customHeight="1" x14ac:dyDescent="0.3">
      <c r="A20" s="5" t="s">
        <v>85</v>
      </c>
      <c r="B20" s="5" t="s">
        <v>86</v>
      </c>
      <c r="C20" s="10">
        <v>1</v>
      </c>
      <c r="D20" s="10">
        <v>4</v>
      </c>
      <c r="E20" s="10"/>
      <c r="F20" s="5"/>
    </row>
    <row r="21" spans="1:6" ht="15" customHeight="1" x14ac:dyDescent="0.3">
      <c r="A21" s="5" t="s">
        <v>87</v>
      </c>
      <c r="B21" s="5" t="s">
        <v>86</v>
      </c>
      <c r="C21" s="10">
        <v>0</v>
      </c>
      <c r="D21" s="10">
        <v>3</v>
      </c>
      <c r="E21" s="10"/>
      <c r="F21" s="5"/>
    </row>
    <row r="22" spans="1:6" ht="15" customHeight="1" x14ac:dyDescent="0.3">
      <c r="A22" s="5" t="s">
        <v>88</v>
      </c>
      <c r="B22" s="5" t="s">
        <v>86</v>
      </c>
      <c r="C22" s="10">
        <v>0</v>
      </c>
      <c r="D22" s="10">
        <v>3</v>
      </c>
      <c r="E22" s="10"/>
      <c r="F22" s="5"/>
    </row>
    <row r="23" spans="1:6" ht="15" customHeight="1" x14ac:dyDescent="0.3">
      <c r="A23" s="5" t="s">
        <v>89</v>
      </c>
      <c r="B23" s="5" t="s">
        <v>86</v>
      </c>
      <c r="C23" s="10">
        <v>1</v>
      </c>
      <c r="D23" s="10">
        <v>4</v>
      </c>
      <c r="E23" s="10"/>
      <c r="F23" s="5"/>
    </row>
    <row r="24" spans="1:6" ht="15" customHeight="1" x14ac:dyDescent="0.3">
      <c r="A24" s="12" t="s">
        <v>90</v>
      </c>
      <c r="B24" s="13"/>
      <c r="C24" s="6">
        <f>AVERAGE(C4:C23)</f>
        <v>0.7</v>
      </c>
      <c r="D24" s="6">
        <f>AVERAGE(D4:D23)</f>
        <v>3.4</v>
      </c>
      <c r="E24" s="13"/>
      <c r="F24" s="13"/>
    </row>
  </sheetData>
  <mergeCells count="1">
    <mergeCell ref="A1:F1"/>
  </mergeCells>
  <dataValidations count="1">
    <dataValidation type="list" allowBlank="1" sqref="C4:D23" xr:uid="{00000000-0002-0000-0300-000000000000}">
      <formula1>"0,1,2,3,4,5"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zoomScaleNormal="100" workbookViewId="0">
      <selection sqref="A1:E1"/>
    </sheetView>
  </sheetViews>
  <sheetFormatPr defaultColWidth="8.6640625" defaultRowHeight="14.4" x14ac:dyDescent="0.3"/>
  <cols>
    <col min="1" max="1" width="7" customWidth="1"/>
    <col min="2" max="2" width="9" customWidth="1"/>
    <col min="3" max="3" width="42" customWidth="1"/>
    <col min="4" max="4" width="52" customWidth="1"/>
    <col min="5" max="5" width="13" customWidth="1"/>
  </cols>
  <sheetData>
    <row r="1" spans="1:5" ht="24" customHeight="1" x14ac:dyDescent="0.3">
      <c r="A1" s="1" t="s">
        <v>91</v>
      </c>
      <c r="B1" s="1"/>
      <c r="C1" s="1"/>
      <c r="D1" s="1"/>
      <c r="E1" s="1"/>
    </row>
    <row r="3" spans="1:5" ht="15" customHeight="1" x14ac:dyDescent="0.3">
      <c r="A3" s="9" t="s">
        <v>21</v>
      </c>
      <c r="B3" s="9" t="s">
        <v>92</v>
      </c>
      <c r="C3" s="9" t="s">
        <v>93</v>
      </c>
      <c r="D3" s="9" t="s">
        <v>94</v>
      </c>
      <c r="E3" s="9" t="s">
        <v>24</v>
      </c>
    </row>
    <row r="4" spans="1:5" ht="30" customHeight="1" x14ac:dyDescent="0.3">
      <c r="A4" s="10">
        <v>1</v>
      </c>
      <c r="B4" s="10" t="s">
        <v>95</v>
      </c>
      <c r="C4" s="5" t="s">
        <v>96</v>
      </c>
      <c r="D4" s="5" t="s">
        <v>97</v>
      </c>
      <c r="E4" s="10" t="s">
        <v>98</v>
      </c>
    </row>
    <row r="5" spans="1:5" ht="30" customHeight="1" x14ac:dyDescent="0.3">
      <c r="A5" s="10">
        <v>2</v>
      </c>
      <c r="B5" s="10" t="s">
        <v>99</v>
      </c>
      <c r="C5" s="5" t="s">
        <v>100</v>
      </c>
      <c r="D5" s="5" t="s">
        <v>101</v>
      </c>
      <c r="E5" s="10" t="s">
        <v>102</v>
      </c>
    </row>
    <row r="6" spans="1:5" ht="30" customHeight="1" x14ac:dyDescent="0.3">
      <c r="A6" s="10">
        <v>3</v>
      </c>
      <c r="B6" s="10" t="s">
        <v>103</v>
      </c>
      <c r="C6" s="5" t="s">
        <v>104</v>
      </c>
      <c r="D6" s="5" t="s">
        <v>105</v>
      </c>
      <c r="E6" s="10" t="s">
        <v>102</v>
      </c>
    </row>
    <row r="7" spans="1:5" ht="30" customHeight="1" x14ac:dyDescent="0.3">
      <c r="A7" s="10">
        <v>4</v>
      </c>
      <c r="B7" s="10" t="s">
        <v>106</v>
      </c>
      <c r="C7" s="5" t="s">
        <v>107</v>
      </c>
      <c r="D7" s="5" t="s">
        <v>108</v>
      </c>
      <c r="E7" s="10" t="s">
        <v>102</v>
      </c>
    </row>
  </sheetData>
  <mergeCells count="1">
    <mergeCell ref="A1:E1"/>
  </mergeCells>
  <dataValidations count="1">
    <dataValidation type="list" allowBlank="1" sqref="E4:E7" xr:uid="{00000000-0002-0000-0400-000000000000}">
      <formula1>"To Do,In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Tickety</vt:lpstr>
      <vt:lpstr>Týždne</vt:lpstr>
      <vt:lpstr>Skills</vt:lpstr>
      <vt:lpstr>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Yevstratov Radii</cp:lastModifiedBy>
  <cp:revision>0</cp:revision>
  <dcterms:created xsi:type="dcterms:W3CDTF">2026-07-08T18:13:57Z</dcterms:created>
  <dcterms:modified xsi:type="dcterms:W3CDTF">2026-07-12T18:10:59Z</dcterms:modified>
  <dc:language>en-US</dc:language>
</cp:coreProperties>
</file>